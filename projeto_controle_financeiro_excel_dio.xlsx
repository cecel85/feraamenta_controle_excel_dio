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ellimacorrea/Documents/"/>
    </mc:Choice>
  </mc:AlternateContent>
  <xr:revisionPtr revIDLastSave="0" documentId="8_{5D91090D-0D6B-6546-8605-1D36DD503386}" xr6:coauthVersionLast="47" xr6:coauthVersionMax="47" xr10:uidLastSave="{00000000-0000-0000-0000-000000000000}"/>
  <bookViews>
    <workbookView xWindow="280" yWindow="600" windowWidth="28240" windowHeight="16700" xr2:uid="{DE24B0BF-300D-9040-A6E6-9F459B9599C0}"/>
  </bookViews>
  <sheets>
    <sheet name="Planilha1" sheetId="1" r:id="rId1"/>
    <sheet name="Planilha2" sheetId="2" r:id="rId2"/>
  </sheets>
  <definedNames>
    <definedName name="_xlchart.v2.0" hidden="1">Planilha1!$B$33:$B$38</definedName>
    <definedName name="_xlchart.v2.1" hidden="1">Planilha1!$C$33:$C$38</definedName>
    <definedName name="aporte">Planilha1!$C$16</definedName>
    <definedName name="patrimonio">Planilha1!$C$19</definedName>
    <definedName name="qtd_anos">Planilha1!$C$17</definedName>
    <definedName name="rendimento_carteira">Planilha1!$C$12</definedName>
    <definedName name="salario">Planilha1!$C$11</definedName>
    <definedName name="sugestao_investimento">Planilha1!$C$13</definedName>
    <definedName name="taxa_mensal">Planilha1!$C$18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1" l="1"/>
  <c r="C35" i="1"/>
  <c r="C36" i="1"/>
  <c r="C37" i="1"/>
  <c r="C38" i="1"/>
  <c r="C33" i="1"/>
  <c r="D33" i="1" s="1"/>
  <c r="H6" i="2"/>
  <c r="A15" i="2"/>
  <c r="A4" i="2"/>
  <c r="A5" i="2"/>
  <c r="A6" i="2"/>
  <c r="A7" i="2"/>
  <c r="A8" i="2"/>
  <c r="A9" i="2"/>
  <c r="A10" i="2"/>
  <c r="A11" i="2"/>
  <c r="A12" i="2"/>
  <c r="A13" i="2"/>
  <c r="A14" i="2"/>
  <c r="A16" i="2"/>
  <c r="A17" i="2"/>
  <c r="A18" i="2"/>
  <c r="A19" i="2"/>
  <c r="A20" i="2"/>
  <c r="A3" i="2"/>
  <c r="C30" i="1"/>
  <c r="C13" i="1"/>
  <c r="C19" i="1"/>
  <c r="C20" i="1" s="1"/>
  <c r="C24" i="1"/>
  <c r="D24" i="1" s="1"/>
  <c r="C25" i="1"/>
  <c r="D25" i="1" s="1"/>
  <c r="C26" i="1"/>
  <c r="D26" i="1" s="1"/>
  <c r="C27" i="1"/>
  <c r="D27" i="1" s="1"/>
  <c r="C23" i="1"/>
  <c r="D23" i="1" s="1"/>
  <c r="D38" i="1" l="1"/>
  <c r="D37" i="1"/>
  <c r="D36" i="1"/>
  <c r="D35" i="1"/>
  <c r="D34" i="1"/>
  <c r="D39" i="1"/>
</calcChain>
</file>

<file path=xl/sharedStrings.xml><?xml version="1.0" encoding="utf-8"?>
<sst xmlns="http://schemas.openxmlformats.org/spreadsheetml/2006/main" count="72" uniqueCount="35">
  <si>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</si>
  <si>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</si>
  <si>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</si>
  <si>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</si>
  <si>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</si>
  <si>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</si>
  <si>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 xml:space="preserve"> </t>
  </si>
  <si>
    <t>Rendimento carteira</t>
  </si>
  <si>
    <t>Sálario</t>
  </si>
  <si>
    <t>Sugestão de investimento</t>
  </si>
  <si>
    <t>CONFIGURAÇÕES</t>
  </si>
  <si>
    <t>CENÁRIOS</t>
  </si>
  <si>
    <t>DIVIDENDOS</t>
  </si>
  <si>
    <t>Quanto investir por mes</t>
  </si>
  <si>
    <t>Por quantos anos</t>
  </si>
  <si>
    <t>Taxa de rendimento mensal</t>
  </si>
  <si>
    <t>Quanto de patrimonio acumulado terei</t>
  </si>
  <si>
    <t>Dividendos mensais</t>
  </si>
  <si>
    <t>PERFIL</t>
  </si>
  <si>
    <t>Conservador</t>
  </si>
  <si>
    <t>Agressivo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</si>
  <si>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</si>
  <si>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</si>
  <si>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</si>
  <si>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</si>
  <si>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</si>
  <si>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</si>
  <si>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</si>
  <si>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</si>
  <si>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</si>
  <si>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</si>
  <si>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</si>
  <si>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CHAVE</t>
  </si>
  <si>
    <t>Moderado</t>
  </si>
  <si>
    <t>Moderado-TIJOLO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</si>
</sst>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72" formatCode="&quot;R$&quot;\ #,##0.00"/>
  </numFmts>
  <fonts count="1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9C57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3"/>
      <color theme="1"/>
      <name val="Helvetica Neue"/>
      <family val="2"/>
    </font>
    <font>
      <b/>
      <sz val="13"/>
      <color theme="1"/>
      <name val="Helvetica Neue"/>
      <family val="2"/>
    </font>
    <font>
      <sz val="13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18"/>
      <color theme="0"/>
      <name val="Aptos Narrow"/>
      <scheme val="minor"/>
    </font>
    <font>
      <b/>
      <sz val="20"/>
      <color theme="0"/>
      <name val="Aptos Narrow"/>
      <scheme val="minor"/>
    </font>
    <font>
      <sz val="14"/>
      <color rgb="FF9C5700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62">
    <xf numFmtId="0" fontId="0" fillId="0" borderId="0" xfId="0"/>
    <xf numFmtId="0" fontId="0" fillId="0" borderId="0" xfId="0" applyAlignment="1">
      <alignment horizontal="center"/>
    </xf>
    <xf numFmtId="0" fontId="6" fillId="4" borderId="5" xfId="0" applyFont="1" applyFill="1" applyBorder="1"/>
    <xf numFmtId="0" fontId="6" fillId="4" borderId="12" xfId="0" applyFont="1" applyFill="1" applyBorder="1"/>
    <xf numFmtId="0" fontId="4" fillId="0" borderId="0" xfId="0" applyFont="1"/>
    <xf numFmtId="0" fontId="7" fillId="4" borderId="3" xfId="0" applyFont="1" applyFill="1" applyBorder="1"/>
    <xf numFmtId="172" fontId="8" fillId="4" borderId="2" xfId="1" applyNumberFormat="1" applyFont="1" applyFill="1" applyBorder="1" applyAlignment="1">
      <alignment horizontal="center" vertical="center"/>
    </xf>
    <xf numFmtId="0" fontId="7" fillId="4" borderId="5" xfId="0" applyFont="1" applyFill="1" applyBorder="1"/>
    <xf numFmtId="172" fontId="8" fillId="4" borderId="16" xfId="1" applyNumberFormat="1" applyFont="1" applyFill="1" applyBorder="1" applyAlignment="1">
      <alignment horizontal="center" vertical="center"/>
    </xf>
    <xf numFmtId="172" fontId="0" fillId="0" borderId="23" xfId="0" applyNumberFormat="1" applyBorder="1" applyAlignment="1">
      <alignment horizontal="center"/>
    </xf>
    <xf numFmtId="172" fontId="0" fillId="0" borderId="17" xfId="0" applyNumberFormat="1" applyBorder="1" applyAlignment="1">
      <alignment horizontal="center"/>
    </xf>
    <xf numFmtId="10" fontId="0" fillId="0" borderId="24" xfId="0" applyNumberFormat="1" applyBorder="1" applyAlignment="1">
      <alignment horizontal="center"/>
    </xf>
    <xf numFmtId="10" fontId="0" fillId="0" borderId="18" xfId="0" applyNumberFormat="1" applyBorder="1" applyAlignment="1">
      <alignment horizontal="center"/>
    </xf>
    <xf numFmtId="1" fontId="3" fillId="0" borderId="4" xfId="0" applyNumberFormat="1" applyFont="1" applyBorder="1" applyAlignment="1">
      <alignment horizontal="center" vertical="center"/>
    </xf>
    <xf numFmtId="8" fontId="3" fillId="4" borderId="13" xfId="0" applyNumberFormat="1" applyFont="1" applyFill="1" applyBorder="1" applyAlignment="1">
      <alignment horizontal="center" vertical="center"/>
    </xf>
    <xf numFmtId="8" fontId="3" fillId="4" borderId="6" xfId="0" applyNumberFormat="1" applyFont="1" applyFill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8" fontId="3" fillId="4" borderId="16" xfId="0" applyNumberFormat="1" applyFont="1" applyFill="1" applyBorder="1" applyAlignment="1">
      <alignment horizontal="center" vertical="center"/>
    </xf>
    <xf numFmtId="172" fontId="3" fillId="0" borderId="11" xfId="1" applyNumberFormat="1" applyFont="1" applyBorder="1" applyAlignment="1">
      <alignment horizontal="center" vertical="center"/>
    </xf>
    <xf numFmtId="172" fontId="3" fillId="0" borderId="8" xfId="1" applyNumberFormat="1" applyFont="1" applyBorder="1" applyAlignment="1">
      <alignment horizontal="center" vertical="center"/>
    </xf>
    <xf numFmtId="10" fontId="3" fillId="0" borderId="27" xfId="0" applyNumberFormat="1" applyFont="1" applyBorder="1" applyAlignment="1">
      <alignment horizontal="center" vertical="center"/>
    </xf>
    <xf numFmtId="10" fontId="3" fillId="0" borderId="28" xfId="0" applyNumberFormat="1" applyFont="1" applyBorder="1" applyAlignment="1">
      <alignment horizontal="center" vertical="center"/>
    </xf>
    <xf numFmtId="8" fontId="3" fillId="4" borderId="15" xfId="0" applyNumberFormat="1" applyFont="1" applyFill="1" applyBorder="1" applyAlignment="1">
      <alignment horizontal="center" vertical="center"/>
    </xf>
    <xf numFmtId="0" fontId="7" fillId="4" borderId="7" xfId="0" applyFont="1" applyFill="1" applyBorder="1"/>
    <xf numFmtId="172" fontId="8" fillId="4" borderId="11" xfId="1" applyNumberFormat="1" applyFont="1" applyFill="1" applyBorder="1" applyAlignment="1">
      <alignment horizontal="center" vertical="center"/>
    </xf>
    <xf numFmtId="172" fontId="7" fillId="4" borderId="8" xfId="0" applyNumberFormat="1" applyFont="1" applyFill="1" applyBorder="1" applyAlignment="1">
      <alignment horizontal="center"/>
    </xf>
    <xf numFmtId="172" fontId="7" fillId="4" borderId="4" xfId="0" applyNumberFormat="1" applyFont="1" applyFill="1" applyBorder="1" applyAlignment="1">
      <alignment horizontal="center"/>
    </xf>
    <xf numFmtId="172" fontId="7" fillId="4" borderId="6" xfId="0" applyNumberFormat="1" applyFont="1" applyFill="1" applyBorder="1" applyAlignment="1">
      <alignment horizontal="center"/>
    </xf>
    <xf numFmtId="0" fontId="10" fillId="5" borderId="9" xfId="0" applyFont="1" applyFill="1" applyBorder="1" applyAlignment="1">
      <alignment horizontal="left" vertical="center"/>
    </xf>
    <xf numFmtId="0" fontId="10" fillId="5" borderId="14" xfId="0" applyFont="1" applyFill="1" applyBorder="1" applyAlignment="1">
      <alignment horizontal="left" vertical="center"/>
    </xf>
    <xf numFmtId="0" fontId="10" fillId="5" borderId="10" xfId="0" applyFont="1" applyFill="1" applyBorder="1" applyAlignment="1">
      <alignment horizontal="left" vertical="center"/>
    </xf>
    <xf numFmtId="0" fontId="10" fillId="3" borderId="20" xfId="0" applyFont="1" applyFill="1" applyBorder="1" applyAlignment="1">
      <alignment horizontal="left" vertical="center"/>
    </xf>
    <xf numFmtId="0" fontId="10" fillId="3" borderId="21" xfId="0" applyFont="1" applyFill="1" applyBorder="1" applyAlignment="1">
      <alignment horizontal="left" vertical="center"/>
    </xf>
    <xf numFmtId="0" fontId="10" fillId="3" borderId="22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5" fillId="4" borderId="7" xfId="0" applyFont="1" applyFill="1" applyBorder="1"/>
    <xf numFmtId="0" fontId="5" fillId="4" borderId="3" xfId="0" applyFont="1" applyFill="1" applyBorder="1"/>
    <xf numFmtId="0" fontId="5" fillId="4" borderId="26" xfId="0" applyFont="1" applyFill="1" applyBorder="1"/>
    <xf numFmtId="0" fontId="0" fillId="4" borderId="7" xfId="0" applyFill="1" applyBorder="1" applyAlignment="1"/>
    <xf numFmtId="0" fontId="0" fillId="4" borderId="3" xfId="0" applyFill="1" applyBorder="1" applyAlignment="1"/>
    <xf numFmtId="0" fontId="0" fillId="4" borderId="5" xfId="0" applyFill="1" applyBorder="1" applyAlignment="1"/>
    <xf numFmtId="172" fontId="0" fillId="4" borderId="25" xfId="0" applyNumberFormat="1" applyFill="1" applyBorder="1" applyAlignment="1">
      <alignment horizontal="center"/>
    </xf>
    <xf numFmtId="172" fontId="0" fillId="4" borderId="19" xfId="0" applyNumberFormat="1" applyFill="1" applyBorder="1" applyAlignment="1">
      <alignment horizontal="center"/>
    </xf>
    <xf numFmtId="0" fontId="2" fillId="2" borderId="0" xfId="3"/>
    <xf numFmtId="0" fontId="11" fillId="2" borderId="0" xfId="3" applyFont="1" applyBorder="1"/>
    <xf numFmtId="0" fontId="12" fillId="0" borderId="0" xfId="0" applyFont="1"/>
    <xf numFmtId="0" fontId="12" fillId="4" borderId="0" xfId="0" applyFont="1" applyFill="1"/>
    <xf numFmtId="0" fontId="11" fillId="2" borderId="0" xfId="3" applyFont="1" applyAlignment="1">
      <alignment horizontal="center"/>
    </xf>
    <xf numFmtId="172" fontId="12" fillId="4" borderId="0" xfId="0" applyNumberFormat="1" applyFont="1" applyFill="1" applyAlignment="1">
      <alignment horizontal="center"/>
    </xf>
    <xf numFmtId="0" fontId="12" fillId="0" borderId="0" xfId="0" applyFont="1" applyAlignment="1">
      <alignment horizontal="center"/>
    </xf>
    <xf numFmtId="9" fontId="12" fillId="0" borderId="0" xfId="0" applyNumberFormat="1" applyFont="1" applyAlignment="1">
      <alignment horizontal="center"/>
    </xf>
    <xf numFmtId="172" fontId="12" fillId="0" borderId="0" xfId="0" applyNumberFormat="1" applyFont="1" applyAlignment="1">
      <alignment horizontal="center"/>
    </xf>
    <xf numFmtId="0" fontId="12" fillId="4" borderId="0" xfId="0" applyFont="1" applyFill="1" applyAlignment="1">
      <alignment horizontal="center"/>
    </xf>
    <xf numFmtId="0" fontId="0" fillId="4" borderId="0" xfId="0" applyFill="1"/>
    <xf numFmtId="172" fontId="0" fillId="4" borderId="0" xfId="0" applyNumberFormat="1" applyFill="1" applyAlignment="1">
      <alignment horizontal="center"/>
    </xf>
    <xf numFmtId="0" fontId="12" fillId="0" borderId="0" xfId="0" applyFont="1" applyFill="1" applyAlignment="1">
      <alignment horizontal="center"/>
    </xf>
    <xf numFmtId="0" fontId="12" fillId="0" borderId="29" xfId="0" applyFont="1" applyBorder="1" applyAlignment="1">
      <alignment horizontal="center"/>
    </xf>
    <xf numFmtId="9" fontId="12" fillId="0" borderId="29" xfId="0" applyNumberFormat="1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9" fontId="12" fillId="0" borderId="0" xfId="0" applyNumberFormat="1" applyFont="1" applyBorder="1" applyAlignment="1">
      <alignment horizontal="center"/>
    </xf>
    <xf numFmtId="0" fontId="2" fillId="2" borderId="0" xfId="3" applyAlignment="1">
      <alignment horizontal="center"/>
    </xf>
    <xf numFmtId="9" fontId="2" fillId="2" borderId="0" xfId="2" applyFont="1" applyFill="1"/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Planilha1!$B$33:$B$38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Planilha1!$C$33:$C$38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FC-0D40-A644-A4622937F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114300</xdr:colOff>
      <xdr:row>0</xdr:row>
      <xdr:rowOff>0</xdr:rowOff>
    </xdr:from>
    <xdr:to>
      <xdr:col>4</xdr:col>
      <xdr:colOff>152400</xdr:colOff>
      <xdr:row>7</xdr:row>
      <xdr:rowOff>177800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CAADC1B-D693-31AD-2C46-A7BA2C50E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0"/>
          <a:ext cx="6858000" cy="1600200"/>
        </a:xfrm>
        <a:prstGeom prst="rect">
          <a:avLst/>
        </a:prstGeom>
      </xdr:spPr>
    </xdr:pic>
    <xdr:clientData/>
  </xdr:twoCellAnchor>
  <xdr:twoCellAnchor>
    <xdr:from>
      <xdr:col>1</xdr:col>
      <xdr:colOff>1075204</xdr:colOff>
      <xdr:row>40</xdr:row>
      <xdr:rowOff>36859</xdr:rowOff>
    </xdr:from>
    <xdr:to>
      <xdr:col>3</xdr:col>
      <xdr:colOff>471715</xdr:colOff>
      <xdr:row>53</xdr:row>
      <xdr:rowOff>173217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78E6760-4E72-9292-D627-3D5FA7D069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C70F1-7EAA-644A-939C-A37F26B461F5}">
  <dimension ref="A9:XFD39"/>
  <sheetViews>
    <sheetView showGridLines="0" showRowColHeaders="0" tabSelected="1" topLeftCell="A27" zoomScale="133" zoomScaleNormal="100" workbookViewId="0">
      <selection activeCell="D43" sqref="D43"/>
    </sheetView>
  </sheetViews>
  <sheetFormatPr baseColWidth="10" defaultColWidth="0" defaultRowHeight="16" x14ac:dyDescent="0.2"/>
  <cols>
    <col min="1" max="1" width="4" customWidth="1"/>
    <col min="2" max="2" width="42.83203125" bestFit="1" customWidth="1"/>
    <col min="3" max="3" width="25" customWidth="1"/>
    <col min="4" max="4" width="17.6640625" customWidth="1"/>
    <col min="5" max="5" width="3.1640625" customWidth="1"/>
    <col min="6" max="6" width="10.83203125" hidden="1" customWidth="1"/>
    <col min="7" max="7" width="11.5" hidden="1" customWidth="1"/>
    <col min="8" max="9" width="10.83203125" hidden="1" customWidth="1"/>
    <col min="10" max="16375" width="10.83203125" hidden="1"/>
    <col min="16377" max="16382" width="10.83203125" hidden="1"/>
    <col min="16383" max="16383" width="2.1640625" hidden="1" customWidth="1"/>
    <col min="16384" max="16384" width="0.83203125" hidden="1" customWidth="1"/>
  </cols>
  <sheetData>
    <row r="9" spans="2:4" ht="10" customHeight="1" thickBot="1" x14ac:dyDescent="0.25"/>
    <row r="10" spans="2:4" ht="28" thickBot="1" x14ac:dyDescent="0.25">
      <c r="B10" s="28" t="s">
        <v>10</v>
      </c>
      <c r="C10" s="29"/>
      <c r="D10" s="30"/>
    </row>
    <row r="11" spans="2:4" x14ac:dyDescent="0.2">
      <c r="B11" s="38" t="s">
        <v>8</v>
      </c>
      <c r="C11" s="9">
        <v>2000</v>
      </c>
      <c r="D11" s="10"/>
    </row>
    <row r="12" spans="2:4" x14ac:dyDescent="0.2">
      <c r="B12" s="39" t="s">
        <v>7</v>
      </c>
      <c r="C12" s="11">
        <v>7.9000000000000008E-3</v>
      </c>
      <c r="D12" s="12"/>
    </row>
    <row r="13" spans="2:4" ht="17" thickBot="1" x14ac:dyDescent="0.25">
      <c r="B13" s="40" t="s">
        <v>9</v>
      </c>
      <c r="C13" s="41">
        <f>salario*30%</f>
        <v>600</v>
      </c>
      <c r="D13" s="42"/>
    </row>
    <row r="14" spans="2:4" ht="17" thickBot="1" x14ac:dyDescent="0.25"/>
    <row r="15" spans="2:4" ht="28" thickBot="1" x14ac:dyDescent="0.25">
      <c r="B15" s="31" t="s">
        <v>0</v>
      </c>
      <c r="C15" s="32"/>
      <c r="D15" s="33"/>
    </row>
    <row r="16" spans="2:4" ht="17" x14ac:dyDescent="0.2">
      <c r="B16" s="35" t="s">
        <v>13</v>
      </c>
      <c r="C16" s="18">
        <v>200</v>
      </c>
      <c r="D16" s="19"/>
    </row>
    <row r="17" spans="1:6" ht="17" x14ac:dyDescent="0.2">
      <c r="B17" s="36" t="s">
        <v>14</v>
      </c>
      <c r="C17" s="16">
        <v>5</v>
      </c>
      <c r="D17" s="13"/>
    </row>
    <row r="18" spans="1:6" ht="18" thickBot="1" x14ac:dyDescent="0.25">
      <c r="B18" s="37" t="s">
        <v>15</v>
      </c>
      <c r="C18" s="20">
        <v>1.0789999999999999E-2</v>
      </c>
      <c r="D18" s="21"/>
    </row>
    <row r="19" spans="1:6" ht="17" x14ac:dyDescent="0.2">
      <c r="B19" s="3" t="s">
        <v>16</v>
      </c>
      <c r="C19" s="22">
        <f>FV(taxa_mensal,qtd_anos*12,aporte)*-1</f>
        <v>16755.382799697527</v>
      </c>
      <c r="D19" s="14"/>
    </row>
    <row r="20" spans="1:6" ht="18" thickBot="1" x14ac:dyDescent="0.25">
      <c r="B20" s="2" t="s">
        <v>17</v>
      </c>
      <c r="C20" s="17">
        <f>(patrimonio*rendimento_carteira)</f>
        <v>132.36752411761049</v>
      </c>
      <c r="D20" s="15"/>
    </row>
    <row r="21" spans="1:6" ht="17" thickBot="1" x14ac:dyDescent="0.25"/>
    <row r="22" spans="1:6" ht="28" thickBot="1" x14ac:dyDescent="0.25">
      <c r="B22" s="31" t="s">
        <v>11</v>
      </c>
      <c r="C22" s="33"/>
      <c r="D22" s="34" t="s">
        <v>12</v>
      </c>
    </row>
    <row r="23" spans="1:6" ht="18" x14ac:dyDescent="0.25">
      <c r="A23" s="4">
        <v>2</v>
      </c>
      <c r="B23" s="23" t="s">
        <v>1</v>
      </c>
      <c r="C23" s="24">
        <f>FV($C$18,$A23*12,$C$16)*-1</f>
        <v>5445.5254595290435</v>
      </c>
      <c r="D23" s="25">
        <f>C23*rendimento_carteira</f>
        <v>43.019651130279449</v>
      </c>
    </row>
    <row r="24" spans="1:6" ht="18" x14ac:dyDescent="0.25">
      <c r="A24" s="4">
        <v>5</v>
      </c>
      <c r="B24" s="5" t="s">
        <v>2</v>
      </c>
      <c r="C24" s="6">
        <f t="shared" ref="C24:C27" si="0">FV($C$18,$A24*12,$C$16)*-1</f>
        <v>16755.382799697527</v>
      </c>
      <c r="D24" s="26">
        <f>C24*rendimento_carteira</f>
        <v>132.36752411761049</v>
      </c>
    </row>
    <row r="25" spans="1:6" ht="18" x14ac:dyDescent="0.25">
      <c r="A25" s="4">
        <v>10</v>
      </c>
      <c r="B25" s="5" t="s">
        <v>3</v>
      </c>
      <c r="C25" s="6">
        <f t="shared" si="0"/>
        <v>48656.842506034438</v>
      </c>
      <c r="D25" s="26">
        <f>C25*rendimento_carteira</f>
        <v>384.38905579767209</v>
      </c>
    </row>
    <row r="26" spans="1:6" ht="18" x14ac:dyDescent="0.25">
      <c r="A26" s="4">
        <v>20</v>
      </c>
      <c r="B26" s="5" t="s">
        <v>4</v>
      </c>
      <c r="C26" s="6">
        <f t="shared" si="0"/>
        <v>225039.68001941612</v>
      </c>
      <c r="D26" s="26">
        <f>C26*rendimento_carteira</f>
        <v>1777.8134721533875</v>
      </c>
      <c r="F26" t="s">
        <v>6</v>
      </c>
    </row>
    <row r="27" spans="1:6" ht="19" thickBot="1" x14ac:dyDescent="0.3">
      <c r="A27" s="4">
        <v>30</v>
      </c>
      <c r="B27" s="7" t="s">
        <v>5</v>
      </c>
      <c r="C27" s="8">
        <f t="shared" si="0"/>
        <v>864433.93100094295</v>
      </c>
      <c r="D27" s="27">
        <f>C27*rendimento_carteira</f>
        <v>6829.0280549074496</v>
      </c>
    </row>
    <row r="29" spans="1:6" ht="19" x14ac:dyDescent="0.25">
      <c r="B29" s="44" t="s">
        <v>18</v>
      </c>
      <c r="C29" s="47" t="s">
        <v>33</v>
      </c>
      <c r="D29" s="43"/>
    </row>
    <row r="30" spans="1:6" ht="19" x14ac:dyDescent="0.25">
      <c r="B30" s="46" t="s">
        <v>21</v>
      </c>
      <c r="C30" s="48">
        <f>aporte</f>
        <v>200</v>
      </c>
      <c r="D30" s="46"/>
    </row>
    <row r="31" spans="1:6" ht="19" x14ac:dyDescent="0.25">
      <c r="B31" s="45"/>
      <c r="C31" s="45"/>
      <c r="D31" s="45"/>
    </row>
    <row r="32" spans="1:6" ht="19" x14ac:dyDescent="0.25">
      <c r="B32" s="52" t="s">
        <v>22</v>
      </c>
      <c r="C32" s="52" t="s">
        <v>23</v>
      </c>
      <c r="D32" s="52" t="s">
        <v>24</v>
      </c>
    </row>
    <row r="33" spans="2:4" ht="19" x14ac:dyDescent="0.25">
      <c r="B33" s="49" t="s">
        <v>25</v>
      </c>
      <c r="C33" s="50">
        <f>VLOOKUP($C$29&amp;"-"&amp;B33,Planilha2!$A:$D,4,FALSE)</f>
        <v>0.32</v>
      </c>
      <c r="D33" s="51">
        <f>C33*$C$30</f>
        <v>64</v>
      </c>
    </row>
    <row r="34" spans="2:4" ht="19" x14ac:dyDescent="0.25">
      <c r="B34" s="1" t="s">
        <v>26</v>
      </c>
      <c r="C34" s="50">
        <f>VLOOKUP($C$29&amp;"-"&amp;B34,Planilha2!$A:$D,4,FALSE)</f>
        <v>0.35</v>
      </c>
      <c r="D34" s="51">
        <f t="shared" ref="D34:D38" si="1">C34*$C$30</f>
        <v>70</v>
      </c>
    </row>
    <row r="35" spans="2:4" ht="19" x14ac:dyDescent="0.25">
      <c r="B35" s="1" t="s">
        <v>27</v>
      </c>
      <c r="C35" s="50">
        <f>VLOOKUP($C$29&amp;"-"&amp;B35,Planilha2!$A:$D,4,FALSE)</f>
        <v>0.08</v>
      </c>
      <c r="D35" s="51">
        <f t="shared" si="1"/>
        <v>16</v>
      </c>
    </row>
    <row r="36" spans="2:4" ht="19" x14ac:dyDescent="0.25">
      <c r="B36" s="1" t="s">
        <v>28</v>
      </c>
      <c r="C36" s="50">
        <f>VLOOKUP($C$29&amp;"-"&amp;B36,Planilha2!$A:$D,4,FALSE)</f>
        <v>0.05</v>
      </c>
      <c r="D36" s="51">
        <f t="shared" si="1"/>
        <v>10</v>
      </c>
    </row>
    <row r="37" spans="2:4" ht="19" x14ac:dyDescent="0.25">
      <c r="B37" s="1" t="s">
        <v>29</v>
      </c>
      <c r="C37" s="50">
        <f>VLOOKUP($C$29&amp;"-"&amp;B37,Planilha2!$A:$D,4,FALSE)</f>
        <v>0.1</v>
      </c>
      <c r="D37" s="51">
        <f t="shared" si="1"/>
        <v>20</v>
      </c>
    </row>
    <row r="38" spans="2:4" ht="19" x14ac:dyDescent="0.25">
      <c r="B38" s="1" t="s">
        <v>30</v>
      </c>
      <c r="C38" s="50">
        <f>VLOOKUP($C$29&amp;"-"&amp;B38,Planilha2!$A:$D,4,FALSE)</f>
        <v>0.1</v>
      </c>
      <c r="D38" s="51">
        <f t="shared" si="1"/>
        <v>20</v>
      </c>
    </row>
    <row r="39" spans="2:4" x14ac:dyDescent="0.2">
      <c r="B39" s="53"/>
      <c r="C39" s="53"/>
      <c r="D39" s="54">
        <f>SUM(D33:D38)</f>
        <v>200</v>
      </c>
    </row>
  </sheetData>
  <mergeCells count="11">
    <mergeCell ref="C19:D19"/>
    <mergeCell ref="C20:D20"/>
    <mergeCell ref="C12:D12"/>
    <mergeCell ref="C13:D13"/>
    <mergeCell ref="B15:D15"/>
    <mergeCell ref="C16:D16"/>
    <mergeCell ref="C17:D17"/>
    <mergeCell ref="C18:D18"/>
    <mergeCell ref="B22:C22"/>
    <mergeCell ref="B10:D10"/>
    <mergeCell ref="C11:D11"/>
  </mergeCells>
  <dataValidations count="1">
    <dataValidation type="list" allowBlank="1" showInputMessage="1" showErrorMessage="1" sqref="C29" xr:uid="{AAAF34ED-DC7A-7A44-95F4-74D45AEF8E36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91914-719B-C042-934C-BA8D629A833E}">
  <dimension ref="A2:H20"/>
  <sheetViews>
    <sheetView workbookViewId="0">
      <selection activeCell="G6" sqref="G6"/>
    </sheetView>
  </sheetViews>
  <sheetFormatPr baseColWidth="10" defaultRowHeight="16" x14ac:dyDescent="0.2"/>
  <cols>
    <col min="1" max="1" width="33" bestFit="1" customWidth="1"/>
    <col min="2" max="2" width="14.33203125" customWidth="1"/>
    <col min="3" max="3" width="21.6640625" customWidth="1"/>
    <col min="7" max="7" width="15.5" bestFit="1" customWidth="1"/>
  </cols>
  <sheetData>
    <row r="2" spans="1:8" ht="19" x14ac:dyDescent="0.25">
      <c r="A2" s="49" t="s">
        <v>32</v>
      </c>
      <c r="B2" s="49" t="s">
        <v>18</v>
      </c>
      <c r="C2" s="55" t="s">
        <v>22</v>
      </c>
      <c r="D2" s="49" t="s">
        <v>31</v>
      </c>
    </row>
    <row r="3" spans="1:8" ht="19" x14ac:dyDescent="0.25">
      <c r="A3" s="49" t="str">
        <f>B3&amp;"-"&amp;C3</f>
        <v>Conservador-PAPEL</v>
      </c>
      <c r="B3" s="49" t="s">
        <v>19</v>
      </c>
      <c r="C3" s="49" t="s">
        <v>25</v>
      </c>
      <c r="D3" s="50">
        <v>0.3</v>
      </c>
    </row>
    <row r="4" spans="1:8" ht="19" x14ac:dyDescent="0.25">
      <c r="A4" s="49" t="str">
        <f t="shared" ref="A4:A20" si="0">B4&amp;"-"&amp;C4</f>
        <v>Conservador-TIJOLO</v>
      </c>
      <c r="B4" s="49" t="s">
        <v>19</v>
      </c>
      <c r="C4" s="49" t="s">
        <v>26</v>
      </c>
      <c r="D4" s="50">
        <v>0.5</v>
      </c>
    </row>
    <row r="5" spans="1:8" ht="19" x14ac:dyDescent="0.25">
      <c r="A5" s="49" t="str">
        <f t="shared" si="0"/>
        <v>Conservador-HÍBRIDOS</v>
      </c>
      <c r="B5" s="49" t="s">
        <v>19</v>
      </c>
      <c r="C5" s="49" t="s">
        <v>27</v>
      </c>
      <c r="D5" s="50">
        <v>0.1</v>
      </c>
      <c r="H5" t="s">
        <v>31</v>
      </c>
    </row>
    <row r="6" spans="1:8" ht="19" x14ac:dyDescent="0.25">
      <c r="A6" s="49" t="str">
        <f t="shared" si="0"/>
        <v>Conservador-FOFs</v>
      </c>
      <c r="B6" s="49" t="s">
        <v>19</v>
      </c>
      <c r="C6" s="49" t="s">
        <v>28</v>
      </c>
      <c r="D6" s="50">
        <v>0.1</v>
      </c>
      <c r="G6" s="60" t="s">
        <v>34</v>
      </c>
      <c r="H6" s="61">
        <f>VLOOKUP(G6,$A:$D,4,FALSE)</f>
        <v>0.35</v>
      </c>
    </row>
    <row r="7" spans="1:8" ht="19" x14ac:dyDescent="0.25">
      <c r="A7" s="49" t="str">
        <f t="shared" si="0"/>
        <v>Conservador-DESENVOLVIMENTO</v>
      </c>
      <c r="B7" s="49" t="s">
        <v>19</v>
      </c>
      <c r="C7" s="49" t="s">
        <v>29</v>
      </c>
      <c r="D7" s="50">
        <v>0</v>
      </c>
    </row>
    <row r="8" spans="1:8" ht="20" thickBot="1" x14ac:dyDescent="0.3">
      <c r="A8" s="56" t="str">
        <f t="shared" si="0"/>
        <v>Conservador-HOTELARIAS</v>
      </c>
      <c r="B8" s="56" t="s">
        <v>19</v>
      </c>
      <c r="C8" s="56" t="s">
        <v>30</v>
      </c>
      <c r="D8" s="57">
        <v>0</v>
      </c>
    </row>
    <row r="9" spans="1:8" ht="19" x14ac:dyDescent="0.25">
      <c r="A9" s="49" t="str">
        <f t="shared" si="0"/>
        <v>Moderado-PAPEL</v>
      </c>
      <c r="B9" s="49" t="s">
        <v>33</v>
      </c>
      <c r="C9" s="49" t="s">
        <v>25</v>
      </c>
      <c r="D9" s="50">
        <v>0.32</v>
      </c>
    </row>
    <row r="10" spans="1:8" ht="19" x14ac:dyDescent="0.25">
      <c r="A10" s="49" t="str">
        <f t="shared" si="0"/>
        <v>Moderado-TIJOLO</v>
      </c>
      <c r="B10" s="49" t="s">
        <v>33</v>
      </c>
      <c r="C10" s="49" t="s">
        <v>26</v>
      </c>
      <c r="D10" s="50">
        <v>0.35</v>
      </c>
    </row>
    <row r="11" spans="1:8" ht="19" x14ac:dyDescent="0.25">
      <c r="A11" s="49" t="str">
        <f t="shared" si="0"/>
        <v>Moderado-HÍBRIDOS</v>
      </c>
      <c r="B11" s="49" t="s">
        <v>33</v>
      </c>
      <c r="C11" s="49" t="s">
        <v>27</v>
      </c>
      <c r="D11" s="50">
        <v>0.08</v>
      </c>
    </row>
    <row r="12" spans="1:8" ht="19" x14ac:dyDescent="0.25">
      <c r="A12" s="49" t="str">
        <f t="shared" si="0"/>
        <v>Moderado-FOFs</v>
      </c>
      <c r="B12" s="49" t="s">
        <v>33</v>
      </c>
      <c r="C12" s="49" t="s">
        <v>28</v>
      </c>
      <c r="D12" s="50">
        <v>0.05</v>
      </c>
    </row>
    <row r="13" spans="1:8" ht="19" x14ac:dyDescent="0.25">
      <c r="A13" s="49" t="str">
        <f t="shared" si="0"/>
        <v>Moderado-DESENVOLVIMENTO</v>
      </c>
      <c r="B13" s="49" t="s">
        <v>33</v>
      </c>
      <c r="C13" s="49" t="s">
        <v>29</v>
      </c>
      <c r="D13" s="50">
        <v>0.1</v>
      </c>
    </row>
    <row r="14" spans="1:8" ht="20" thickBot="1" x14ac:dyDescent="0.3">
      <c r="A14" s="56" t="str">
        <f t="shared" si="0"/>
        <v>Moderado-HOTELARIAS</v>
      </c>
      <c r="B14" s="56" t="s">
        <v>33</v>
      </c>
      <c r="C14" s="56" t="s">
        <v>30</v>
      </c>
      <c r="D14" s="57">
        <v>0.1</v>
      </c>
    </row>
    <row r="15" spans="1:8" ht="19" x14ac:dyDescent="0.25">
      <c r="A15" s="58" t="str">
        <f t="shared" si="0"/>
        <v>Agressivo-PAPEL</v>
      </c>
      <c r="B15" s="58" t="s">
        <v>20</v>
      </c>
      <c r="C15" s="58" t="s">
        <v>25</v>
      </c>
      <c r="D15" s="59">
        <v>0.5</v>
      </c>
    </row>
    <row r="16" spans="1:8" ht="19" x14ac:dyDescent="0.25">
      <c r="A16" s="49" t="str">
        <f t="shared" si="0"/>
        <v>Agressivo-TIJOLO</v>
      </c>
      <c r="B16" s="49" t="s">
        <v>20</v>
      </c>
      <c r="C16" s="49" t="s">
        <v>26</v>
      </c>
      <c r="D16" s="50">
        <v>0.1</v>
      </c>
    </row>
    <row r="17" spans="1:4" ht="19" x14ac:dyDescent="0.25">
      <c r="A17" s="49" t="str">
        <f t="shared" si="0"/>
        <v>Agressivo-HÍBRIDOS</v>
      </c>
      <c r="B17" s="49" t="s">
        <v>20</v>
      </c>
      <c r="C17" s="49" t="s">
        <v>27</v>
      </c>
      <c r="D17" s="50">
        <v>0.05</v>
      </c>
    </row>
    <row r="18" spans="1:4" ht="19" x14ac:dyDescent="0.25">
      <c r="A18" s="49" t="str">
        <f t="shared" si="0"/>
        <v>Agressivo-FOFs</v>
      </c>
      <c r="B18" s="49" t="s">
        <v>20</v>
      </c>
      <c r="C18" s="49" t="s">
        <v>28</v>
      </c>
      <c r="D18" s="50">
        <v>0.05</v>
      </c>
    </row>
    <row r="19" spans="1:4" ht="19" x14ac:dyDescent="0.25">
      <c r="A19" s="49" t="str">
        <f t="shared" si="0"/>
        <v>Agressivo-DESENVOLVIMENTO</v>
      </c>
      <c r="B19" s="49" t="s">
        <v>20</v>
      </c>
      <c r="C19" s="49" t="s">
        <v>29</v>
      </c>
      <c r="D19" s="50">
        <v>0.2</v>
      </c>
    </row>
    <row r="20" spans="1:4" ht="19" x14ac:dyDescent="0.25">
      <c r="A20" s="49" t="str">
        <f t="shared" si="0"/>
        <v>Agressivo-HOTELARIAS</v>
      </c>
      <c r="B20" s="49" t="s">
        <v>20</v>
      </c>
      <c r="C20" s="49" t="s">
        <v>30</v>
      </c>
      <c r="D20" s="50">
        <v>0.1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Planilha1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Correa</dc:creator>
  <cp:lastModifiedBy>Marcel Correa</cp:lastModifiedBy>
  <dcterms:created xsi:type="dcterms:W3CDTF">2026-02-06T23:46:59Z</dcterms:created>
  <dcterms:modified xsi:type="dcterms:W3CDTF">2026-02-07T16:47:58Z</dcterms:modified>
</cp:coreProperties>
</file>